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 funziona" sheetId="1" state="visible" r:id="rId1"/>
    <sheet xmlns:r="http://schemas.openxmlformats.org/officeDocument/2006/relationships" name="Movimenti" sheetId="2" state="visible" r:id="rId2"/>
    <sheet xmlns:r="http://schemas.openxmlformats.org/officeDocument/2006/relationships" name="Quadratu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 €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3" borderId="0" pivotButton="0" quotePrefix="0" xfId="0"/>
    <xf numFmtId="0" fontId="0" fillId="3" borderId="0" pivotButton="0" quotePrefix="0" xfId="0"/>
    <xf numFmtId="166" fontId="0" fillId="3" borderId="0" pivotButton="0" quotePrefix="0" xfId="0"/>
    <xf numFmtId="0" fontId="3" fillId="0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Esempio di lavorazione a lotto per studi commercialisti (dati interamente inventati).</t>
        </is>
      </c>
    </row>
    <row r="2">
      <c r="A2" t="inlineStr">
        <is>
          <t>1. Lo studio invia gli estratti conto (PDF o CSV) e, se vuole, il piano dei conti.</t>
        </is>
      </c>
    </row>
    <row r="3">
      <c r="A3" t="inlineStr">
        <is>
          <t>2. Ricevete entro 24-48 ore questo file: movimenti con controparte e conto proposto, quadratura col saldo e casi dubbi evidenziati.</t>
        </is>
      </c>
    </row>
    <row r="4">
      <c r="A4" t="inlineStr">
        <is>
          <t>3. Se serve, il file viene preparato nel tracciato di importazione del vostro gestionale.</t>
        </is>
      </c>
    </row>
    <row r="5">
      <c r="A5" t="inlineStr">
        <is>
          <t>Le proposte di conto sono suggerimenti: la registrazione resta dello studio.</t>
        </is>
      </c>
    </row>
    <row r="6">
      <c r="A6" t="inlineStr">
        <is>
          <t>Lavoro svolto da Simone Bellei con l'aiuto dell'intelligenza artificiale, con controllo delle quadrature.</t>
        </is>
      </c>
    </row>
    <row r="7">
      <c r="A7" t="inlineStr">
        <is>
          <t>Trattamento dati: prima di ricevere dati reali si firma la nomina a responsabile del trattamento (art. 28 GDPR).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5" customWidth="1" min="3" max="3"/>
    <col width="15" customWidth="1" min="4" max="4"/>
    <col width="22" customWidth="1" min="5" max="5"/>
    <col width="44" customWidth="1" min="6" max="6"/>
    <col width="52" customWidth="1" min="7" max="7"/>
  </cols>
  <sheetData>
    <row r="1">
      <c r="A1" s="1" t="inlineStr">
        <is>
          <t>ESEMPIO CON DATI INVENTATI - Ditta Esempio sas, c/c Banca Esempio, settembre 2026</t>
        </is>
      </c>
    </row>
    <row r="3">
      <c r="A3" s="2" t="inlineStr">
        <is>
          <t>Data</t>
        </is>
      </c>
      <c r="B3" s="2" t="inlineStr">
        <is>
          <t>Descrizione banca</t>
        </is>
      </c>
      <c r="C3" s="2" t="inlineStr">
        <is>
          <t>Dare (uscite)</t>
        </is>
      </c>
      <c r="D3" s="2" t="inlineStr">
        <is>
          <t>Avere (entrate)</t>
        </is>
      </c>
      <c r="E3" s="2" t="inlineStr">
        <is>
          <t>Controparte</t>
        </is>
      </c>
      <c r="F3" s="2" t="inlineStr">
        <is>
          <t>Conto proposto</t>
        </is>
      </c>
      <c r="G3" s="2" t="inlineStr">
        <is>
          <t>Nota per lo studio</t>
        </is>
      </c>
    </row>
    <row r="4">
      <c r="A4" s="3" t="n">
        <v>46267</v>
      </c>
      <c r="B4" t="inlineStr">
        <is>
          <t>BONIFICO A FAVORE DA ROSSI SRL FT 112/2026</t>
        </is>
      </c>
      <c r="C4" s="4" t="n"/>
      <c r="D4" s="4" t="n">
        <v>1830</v>
      </c>
      <c r="E4" t="inlineStr">
        <is>
          <t>Rossi srl</t>
        </is>
      </c>
      <c r="F4" t="inlineStr">
        <is>
          <t>Crediti v/clienti</t>
        </is>
      </c>
      <c r="G4" t="inlineStr">
        <is>
          <t>Incasso fattura 112/2026</t>
        </is>
      </c>
    </row>
    <row r="5">
      <c r="A5" s="3" t="n">
        <v>46268</v>
      </c>
      <c r="B5" t="inlineStr">
        <is>
          <t>ADDEBITO SDD ENEL ENERGIA BOLLETTA AGO</t>
        </is>
      </c>
      <c r="C5" s="4" t="n">
        <v>212.4</v>
      </c>
      <c r="D5" s="4" t="n"/>
      <c r="E5" t="inlineStr">
        <is>
          <t>Fornitore Enel Energia</t>
        </is>
      </c>
      <c r="F5" t="inlineStr">
        <is>
          <t>Debiti v/fornitori (utenze)</t>
        </is>
      </c>
      <c r="G5" t="inlineStr">
        <is>
          <t>Pagamento fattura utenza</t>
        </is>
      </c>
    </row>
    <row r="6">
      <c r="A6" s="5" t="n">
        <v>46270</v>
      </c>
      <c r="B6" s="6" t="inlineStr">
        <is>
          <t>PAGAMENTO POS DISTRIBUTORE Q8 RAVENNA</t>
        </is>
      </c>
      <c r="C6" s="7" t="n">
        <v>68</v>
      </c>
      <c r="D6" s="7" t="n"/>
      <c r="E6" s="6" t="inlineStr">
        <is>
          <t>Carburanti</t>
        </is>
      </c>
      <c r="F6" s="6" t="inlineStr">
        <is>
          <t>Costi carburante (indeducibilità parziale da verificare)</t>
        </is>
      </c>
      <c r="G6" s="6" t="inlineStr">
        <is>
          <t>Spesa POS senza fattura: chiedere scontrino/fattura</t>
        </is>
      </c>
    </row>
    <row r="7">
      <c r="A7" s="5" t="n">
        <v>46273</v>
      </c>
      <c r="B7" s="6" t="inlineStr">
        <is>
          <t>F24 DELEGA TELEMATICA</t>
        </is>
      </c>
      <c r="C7" s="7" t="n">
        <v>1244.17</v>
      </c>
      <c r="D7" s="7" t="n"/>
      <c r="E7" s="6" t="inlineStr">
        <is>
          <t>Erario</t>
        </is>
      </c>
      <c r="F7" s="6" t="inlineStr">
        <is>
          <t>Erario c/ritenute / tributi</t>
        </is>
      </c>
      <c r="G7" s="6" t="inlineStr">
        <is>
          <t>Verificare ripartizione dei tributi con la delega</t>
        </is>
      </c>
    </row>
    <row r="8">
      <c r="A8" s="3" t="n">
        <v>46275</v>
      </c>
      <c r="B8" t="inlineStr">
        <is>
          <t>BONIFICO A VS FAVORE BIANCHI SNC FT 115/2026</t>
        </is>
      </c>
      <c r="C8" s="4" t="n"/>
      <c r="D8" s="4" t="n">
        <v>976</v>
      </c>
      <c r="E8" t="inlineStr">
        <is>
          <t>Bianchi snc</t>
        </is>
      </c>
      <c r="F8" t="inlineStr">
        <is>
          <t>Crediti v/clienti</t>
        </is>
      </c>
      <c r="G8" t="inlineStr">
        <is>
          <t>Incasso fattura 115/2026</t>
        </is>
      </c>
    </row>
    <row r="9">
      <c r="A9" s="3" t="n">
        <v>46277</v>
      </c>
      <c r="B9" t="inlineStr">
        <is>
          <t>BONIFICO A FORNITORE EDILFERRAMENTA FT A/388</t>
        </is>
      </c>
      <c r="C9" s="4" t="n">
        <v>1452.8</v>
      </c>
      <c r="D9" s="4" t="n"/>
      <c r="E9" t="inlineStr">
        <is>
          <t>Edilferramenta</t>
        </is>
      </c>
      <c r="F9" t="inlineStr">
        <is>
          <t>Debiti v/fornitori</t>
        </is>
      </c>
      <c r="G9" t="inlineStr">
        <is>
          <t>Pagamento fattura A/388</t>
        </is>
      </c>
    </row>
    <row r="10">
      <c r="A10" s="3" t="n">
        <v>46280</v>
      </c>
      <c r="B10" t="inlineStr">
        <is>
          <t>COMMISSIONI TENUTA CONTO</t>
        </is>
      </c>
      <c r="C10" s="4" t="n">
        <v>9.5</v>
      </c>
      <c r="D10" s="4" t="n"/>
      <c r="E10" t="inlineStr">
        <is>
          <t>Banca</t>
        </is>
      </c>
      <c r="F10" t="inlineStr">
        <is>
          <t>Oneri bancari</t>
        </is>
      </c>
      <c r="G10" t="inlineStr">
        <is>
          <t>Spese tenuta conto</t>
        </is>
      </c>
    </row>
    <row r="11">
      <c r="A11" s="3" t="n">
        <v>46283</v>
      </c>
      <c r="B11" t="inlineStr">
        <is>
          <t>EMOLUMENTI STIPENDIO AGOSTO VERDI M.</t>
        </is>
      </c>
      <c r="C11" s="4" t="n">
        <v>1386</v>
      </c>
      <c r="D11" s="4" t="n"/>
      <c r="E11" t="inlineStr">
        <is>
          <t>Verdi M.</t>
        </is>
      </c>
      <c r="F11" t="inlineStr">
        <is>
          <t>Dipendenti c/retribuzioni</t>
        </is>
      </c>
      <c r="G11" t="inlineStr">
        <is>
          <t>Netto in busta agosto</t>
        </is>
      </c>
    </row>
    <row r="12">
      <c r="A12" s="5" t="n">
        <v>46287</v>
      </c>
      <c r="B12" s="6" t="inlineStr">
        <is>
          <t>INCASSO POS 21/09</t>
        </is>
      </c>
      <c r="C12" s="7" t="n"/>
      <c r="D12" s="7" t="n">
        <v>642.3</v>
      </c>
      <c r="E12" s="6" t="inlineStr">
        <is>
          <t>Incassi POS</t>
        </is>
      </c>
      <c r="F12" s="6" t="inlineStr">
        <is>
          <t>Cassa/corrispettivi</t>
        </is>
      </c>
      <c r="G12" s="6" t="inlineStr">
        <is>
          <t>Riconciliare con corrispettivi telematici del 21/09</t>
        </is>
      </c>
    </row>
    <row r="13">
      <c r="A13" s="5" t="n">
        <v>46290</v>
      </c>
      <c r="B13" s="6" t="inlineStr">
        <is>
          <t>ADDEBITO RATA FINANZIAMENTO N. 4471</t>
        </is>
      </c>
      <c r="C13" s="7" t="n">
        <v>530.12</v>
      </c>
      <c r="D13" s="7" t="n"/>
      <c r="E13" s="6" t="inlineStr">
        <is>
          <t>Banca</t>
        </is>
      </c>
      <c r="F13" s="6" t="inlineStr">
        <is>
          <t>Mutui e finanziamenti passivi + interessi</t>
        </is>
      </c>
      <c r="G13" s="6" t="inlineStr">
        <is>
          <t>Scomporre quota capitale/interessi dal piano</t>
        </is>
      </c>
    </row>
    <row r="14">
      <c r="A14" s="3" t="n">
        <v>46294</v>
      </c>
      <c r="B14" t="inlineStr">
        <is>
          <t>BONIFICO A VS FAVORE NERI SPA FT 118/2026</t>
        </is>
      </c>
      <c r="C14" s="4" t="n"/>
      <c r="D14" s="4" t="n">
        <v>3172</v>
      </c>
      <c r="E14" t="inlineStr">
        <is>
          <t>Neri spa</t>
        </is>
      </c>
      <c r="F14" t="inlineStr">
        <is>
          <t>Crediti v/clienti</t>
        </is>
      </c>
      <c r="G14" t="inlineStr">
        <is>
          <t>Incasso fattura 118/2026</t>
        </is>
      </c>
    </row>
    <row r="15">
      <c r="A15" s="3" t="n">
        <v>46295</v>
      </c>
      <c r="B15" t="inlineStr">
        <is>
          <t>INTERESSI E COMPETENZE TRIMESTRE</t>
        </is>
      </c>
      <c r="C15" s="4" t="n">
        <v>14.85</v>
      </c>
      <c r="D15" s="4" t="n"/>
      <c r="E15" t="inlineStr">
        <is>
          <t>Banca</t>
        </is>
      </c>
      <c r="F15" t="inlineStr">
        <is>
          <t>Interessi passivi bancari</t>
        </is>
      </c>
      <c r="G15" t="inlineStr">
        <is>
          <t>Competenze trimestre</t>
        </is>
      </c>
    </row>
    <row r="16">
      <c r="A16" s="8" t="n"/>
      <c r="B16" s="8" t="inlineStr">
        <is>
          <t>Totali</t>
        </is>
      </c>
      <c r="C16" s="9">
        <f>SUM(C4:C15)</f>
        <v/>
      </c>
      <c r="D16" s="9">
        <f>SUM(D4:D15)</f>
        <v/>
      </c>
      <c r="E16" s="8" t="n"/>
      <c r="F16" s="8" t="n"/>
      <c r="G16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Quadratura estratto conto - settembre 2026 (dati inventati)</t>
        </is>
      </c>
    </row>
    <row r="3">
      <c r="A3" t="inlineStr">
        <is>
          <t>Saldo iniziale da estratto conto</t>
        </is>
      </c>
      <c r="B3" s="4" t="n">
        <v>4210.55</v>
      </c>
    </row>
    <row r="4">
      <c r="A4" t="inlineStr">
        <is>
          <t>Totale entrate (Avere)</t>
        </is>
      </c>
      <c r="B4" s="4">
        <f>Movimenti!D16</f>
        <v/>
      </c>
    </row>
    <row r="5">
      <c r="A5" t="inlineStr">
        <is>
          <t>Totale uscite (Dare)</t>
        </is>
      </c>
      <c r="B5" s="4">
        <f>Movimenti!C16</f>
        <v/>
      </c>
    </row>
    <row r="6">
      <c r="A6" t="inlineStr">
        <is>
          <t>Saldo finale calcolato</t>
        </is>
      </c>
      <c r="B6" s="4">
        <f>B3+B4-B5</f>
        <v/>
      </c>
    </row>
    <row r="7">
      <c r="A7" t="inlineStr">
        <is>
          <t>Saldo finale da estratto conto</t>
        </is>
      </c>
      <c r="B7" s="4" t="n">
        <v>5913.01</v>
      </c>
    </row>
    <row r="8">
      <c r="A8" s="8" t="inlineStr">
        <is>
          <t>Differenza (deve essere 0)</t>
        </is>
      </c>
      <c r="B8" s="9">
        <f>B7-B6</f>
        <v/>
      </c>
    </row>
    <row r="10">
      <c r="A10" t="inlineStr">
        <is>
          <t>Righe in giallo nel foglio Movimenti: casi da decidere con lo studio (non registrati in automatico).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2026-10-21T20:26:39Z</dcterms:created>
  <dcterms:modified xmlns:dcterms="http://purl.org/dc/terms/" xmlns:xsi="http://www.w3.org/2001/XMLSchema-instance" xsi:type="dcterms:W3CDTF">2026-10-21T20:26:39Z</dcterms:modified>
</cp:coreProperties>
</file>